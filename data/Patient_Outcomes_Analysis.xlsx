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tients" sheetId="2" state="visible" r:id="rId4"/>
    <sheet name="Dept_Reference" sheetId="3" state="visible" r:id="rId5"/>
    <sheet name="Dept_Analysis" sheetId="4" state="visible" r:id="rId6"/>
    <sheet name="Monthly_Admissions" sheetId="5" state="visible" r:id="rId7"/>
    <sheet name="Age_Risk_Profile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<sst xmlns="http://schemas.openxmlformats.org/spreadsheetml/2006/main" count="399" uniqueCount="225">
  <si>
    <t xml:space="preserve">GREENFIELD NHS TRUST  ·  Patient Outcomes &amp; Operational Dashboard  ·  2024</t>
  </si>
  <si>
    <t xml:space="preserve">Data from Patients sheet | Dept data from Hospital_Reference.xlsx (cross-workbook VLOOKUP) | Period: Jan-Apr 2024</t>
  </si>
  <si>
    <t xml:space="preserve">HOSPITAL PERFORMANCE METRICS</t>
  </si>
  <si>
    <t xml:space="preserve">Total Admissions</t>
  </si>
  <si>
    <t xml:space="preserve">Total Readmissions</t>
  </si>
  <si>
    <t xml:space="preserve">Readmission Rate</t>
  </si>
  <si>
    <t xml:space="preserve">Avg LOS (days)</t>
  </si>
  <si>
    <t xml:space="preserve">Mortality Rate</t>
  </si>
  <si>
    <t xml:space="preserve">Departments</t>
  </si>
  <si>
    <t xml:space="preserve">Total Bed Capacity</t>
  </si>
  <si>
    <t xml:space="preserve">Discharge Rate</t>
  </si>
  <si>
    <t xml:space="preserve">SHEET GUIDE</t>
  </si>
  <si>
    <t xml:space="preserve">Patients</t>
  </si>
  <si>
    <t xml:space="preserve">40 patient records: admission, discharge, LOS, diagnosis, outcome, 30-day readmission</t>
  </si>
  <si>
    <t xml:space="preserve">Dept_Reference</t>
  </si>
  <si>
    <t xml:space="preserve">Dept metadata; VLOOKUP from Hospital_Reference.xlsx (cross-workbook, col E = red text)</t>
  </si>
  <si>
    <t xml:space="preserve">Dept_Analysis</t>
  </si>
  <si>
    <t xml:space="preserve">SUMIF/AVERAGEIF per department; occupancy &amp; readmission metrics; conditional formatting</t>
  </si>
  <si>
    <t xml:space="preserve">Monthly_Admissions</t>
  </si>
  <si>
    <t xml:space="preserve">Monthly trend; MoM formulas; embedded bar chart</t>
  </si>
  <si>
    <t xml:space="preserve">Age_Risk_Profile</t>
  </si>
  <si>
    <t xml:space="preserve">Age-banded risk analysis; colour-scale conditional formatting on readmission rate</t>
  </si>
  <si>
    <t xml:space="preserve">Assumptions</t>
  </si>
  <si>
    <t xml:space="preserve">Blue=input values; yellow=cells under review; NHS benchmarks</t>
  </si>
  <si>
    <t xml:space="preserve">Patient ID</t>
  </si>
  <si>
    <t xml:space="preserve">Admission Date</t>
  </si>
  <si>
    <t xml:space="preserve">Discharge Date</t>
  </si>
  <si>
    <t xml:space="preserve">Age</t>
  </si>
  <si>
    <t xml:space="preserve">Gender</t>
  </si>
  <si>
    <t xml:space="preserve">Dept Code</t>
  </si>
  <si>
    <t xml:space="preserve">ICD-10</t>
  </si>
  <si>
    <t xml:space="preserve">LOS (days)</t>
  </si>
  <si>
    <t xml:space="preserve">Outcome</t>
  </si>
  <si>
    <t xml:space="preserve">Readmission 30d</t>
  </si>
  <si>
    <t xml:space="preserve">PAT-001</t>
  </si>
  <si>
    <t xml:space="preserve">2024-01-03</t>
  </si>
  <si>
    <t xml:space="preserve">2024-01-08</t>
  </si>
  <si>
    <t xml:space="preserve">M</t>
  </si>
  <si>
    <t xml:space="preserve">CARD</t>
  </si>
  <si>
    <t xml:space="preserve">I21.0</t>
  </si>
  <si>
    <t xml:space="preserve">Discharged</t>
  </si>
  <si>
    <t xml:space="preserve">PAT-002</t>
  </si>
  <si>
    <t xml:space="preserve">2024-01-05</t>
  </si>
  <si>
    <t xml:space="preserve">2024-01-07</t>
  </si>
  <si>
    <t xml:space="preserve">F</t>
  </si>
  <si>
    <t xml:space="preserve">I10</t>
  </si>
  <si>
    <t xml:space="preserve">PAT-003</t>
  </si>
  <si>
    <t xml:space="preserve">2024-01-11</t>
  </si>
  <si>
    <t xml:space="preserve">ORTH</t>
  </si>
  <si>
    <t xml:space="preserve">M16.1</t>
  </si>
  <si>
    <t xml:space="preserve">PAT-004</t>
  </si>
  <si>
    <t xml:space="preserve">2024-01-09</t>
  </si>
  <si>
    <t xml:space="preserve">2024-01-10</t>
  </si>
  <si>
    <t xml:space="preserve">A&amp;E</t>
  </si>
  <si>
    <t xml:space="preserve">T14.0</t>
  </si>
  <si>
    <t xml:space="preserve">PAT-005</t>
  </si>
  <si>
    <t xml:space="preserve">2024-01-12</t>
  </si>
  <si>
    <t xml:space="preserve">2024-01-20</t>
  </si>
  <si>
    <t xml:space="preserve">ONCO</t>
  </si>
  <si>
    <t xml:space="preserve">C34.1</t>
  </si>
  <si>
    <t xml:space="preserve">PAT-006</t>
  </si>
  <si>
    <t xml:space="preserve">2024-01-14</t>
  </si>
  <si>
    <t xml:space="preserve">2024-01-18</t>
  </si>
  <si>
    <t xml:space="preserve">NEUR</t>
  </si>
  <si>
    <t xml:space="preserve">G35</t>
  </si>
  <si>
    <t xml:space="preserve">Transferred</t>
  </si>
  <si>
    <t xml:space="preserve">PAT-007</t>
  </si>
  <si>
    <t xml:space="preserve">2024-01-16</t>
  </si>
  <si>
    <t xml:space="preserve">PEDS</t>
  </si>
  <si>
    <t xml:space="preserve">J18.9</t>
  </si>
  <si>
    <t xml:space="preserve">PAT-008</t>
  </si>
  <si>
    <t xml:space="preserve">2024-01-19</t>
  </si>
  <si>
    <t xml:space="preserve">2024-01-21</t>
  </si>
  <si>
    <t xml:space="preserve">S52.5</t>
  </si>
  <si>
    <t xml:space="preserve">PAT-009</t>
  </si>
  <si>
    <t xml:space="preserve">2024-01-22</t>
  </si>
  <si>
    <t xml:space="preserve">2024-01-24</t>
  </si>
  <si>
    <t xml:space="preserve">PAT-010</t>
  </si>
  <si>
    <t xml:space="preserve">2024-01-25</t>
  </si>
  <si>
    <t xml:space="preserve">2024-02-02</t>
  </si>
  <si>
    <t xml:space="preserve">Deceased</t>
  </si>
  <si>
    <t xml:space="preserve">PAT-011</t>
  </si>
  <si>
    <t xml:space="preserve">2024-02-01</t>
  </si>
  <si>
    <t xml:space="preserve">2024-02-06</t>
  </si>
  <si>
    <t xml:space="preserve">PAT-012</t>
  </si>
  <si>
    <t xml:space="preserve">2024-02-04</t>
  </si>
  <si>
    <t xml:space="preserve">PAT-013</t>
  </si>
  <si>
    <t xml:space="preserve">2024-02-07</t>
  </si>
  <si>
    <t xml:space="preserve">2024-02-13</t>
  </si>
  <si>
    <t xml:space="preserve">PAT-014</t>
  </si>
  <si>
    <t xml:space="preserve">2024-02-10</t>
  </si>
  <si>
    <t xml:space="preserve">2024-02-14</t>
  </si>
  <si>
    <t xml:space="preserve">PAT-015</t>
  </si>
  <si>
    <t xml:space="preserve">2024-02-17</t>
  </si>
  <si>
    <t xml:space="preserve">PAT-016</t>
  </si>
  <si>
    <t xml:space="preserve">2024-02-16</t>
  </si>
  <si>
    <t xml:space="preserve">2024-02-18</t>
  </si>
  <si>
    <t xml:space="preserve">PAT-017</t>
  </si>
  <si>
    <t xml:space="preserve">2024-02-19</t>
  </si>
  <si>
    <t xml:space="preserve">2024-02-23</t>
  </si>
  <si>
    <t xml:space="preserve">PAT-018</t>
  </si>
  <si>
    <t xml:space="preserve">2024-02-22</t>
  </si>
  <si>
    <t xml:space="preserve">2024-02-24</t>
  </si>
  <si>
    <t xml:space="preserve">PAT-019</t>
  </si>
  <si>
    <t xml:space="preserve">2024-02-25</t>
  </si>
  <si>
    <t xml:space="preserve">2024-02-29</t>
  </si>
  <si>
    <t xml:space="preserve">PAT-020</t>
  </si>
  <si>
    <t xml:space="preserve">2024-03-01</t>
  </si>
  <si>
    <t xml:space="preserve">2024-03-04</t>
  </si>
  <si>
    <t xml:space="preserve">PAT-021</t>
  </si>
  <si>
    <t xml:space="preserve">2024-03-12</t>
  </si>
  <si>
    <t xml:space="preserve">PAT-022</t>
  </si>
  <si>
    <t xml:space="preserve">2024-03-07</t>
  </si>
  <si>
    <t xml:space="preserve">2024-03-09</t>
  </si>
  <si>
    <t xml:space="preserve">PAT-023</t>
  </si>
  <si>
    <t xml:space="preserve">2024-03-10</t>
  </si>
  <si>
    <t xml:space="preserve">2024-03-16</t>
  </si>
  <si>
    <t xml:space="preserve">PAT-024</t>
  </si>
  <si>
    <t xml:space="preserve">2024-03-13</t>
  </si>
  <si>
    <t xml:space="preserve">2024-03-17</t>
  </si>
  <si>
    <t xml:space="preserve">PAT-025</t>
  </si>
  <si>
    <t xml:space="preserve">2024-03-20</t>
  </si>
  <si>
    <t xml:space="preserve">PAT-026</t>
  </si>
  <si>
    <t xml:space="preserve">2024-03-19</t>
  </si>
  <si>
    <t xml:space="preserve">PAT-027</t>
  </si>
  <si>
    <t xml:space="preserve">2024-03-22</t>
  </si>
  <si>
    <t xml:space="preserve">2024-03-29</t>
  </si>
  <si>
    <t xml:space="preserve">PAT-028</t>
  </si>
  <si>
    <t xml:space="preserve">2024-03-25</t>
  </si>
  <si>
    <t xml:space="preserve">2024-03-27</t>
  </si>
  <si>
    <t xml:space="preserve">PAT-029</t>
  </si>
  <si>
    <t xml:space="preserve">2024-03-28</t>
  </si>
  <si>
    <t xml:space="preserve">2024-04-05</t>
  </si>
  <si>
    <t xml:space="preserve">PAT-030</t>
  </si>
  <si>
    <t xml:space="preserve">2024-04-01</t>
  </si>
  <si>
    <t xml:space="preserve">2024-04-03</t>
  </si>
  <si>
    <t xml:space="preserve">PAT-031</t>
  </si>
  <si>
    <t xml:space="preserve">2024-04-04</t>
  </si>
  <si>
    <t xml:space="preserve">2024-04-09</t>
  </si>
  <si>
    <t xml:space="preserve">PAT-032</t>
  </si>
  <si>
    <t xml:space="preserve">2024-04-07</t>
  </si>
  <si>
    <t xml:space="preserve">2024-04-13</t>
  </si>
  <si>
    <t xml:space="preserve">PAT-033</t>
  </si>
  <si>
    <t xml:space="preserve">2024-04-10</t>
  </si>
  <si>
    <t xml:space="preserve">2024-04-14</t>
  </si>
  <si>
    <t xml:space="preserve">PAT-034</t>
  </si>
  <si>
    <t xml:space="preserve">2024-04-15</t>
  </si>
  <si>
    <t xml:space="preserve">PAT-035</t>
  </si>
  <si>
    <t xml:space="preserve">2024-04-16</t>
  </si>
  <si>
    <t xml:space="preserve">2024-04-24</t>
  </si>
  <si>
    <t xml:space="preserve">PAT-036</t>
  </si>
  <si>
    <t xml:space="preserve">2024-04-19</t>
  </si>
  <si>
    <t xml:space="preserve">2024-04-21</t>
  </si>
  <si>
    <t xml:space="preserve">PAT-037</t>
  </si>
  <si>
    <t xml:space="preserve">2024-04-22</t>
  </si>
  <si>
    <t xml:space="preserve">2024-04-26</t>
  </si>
  <si>
    <t xml:space="preserve">PAT-038</t>
  </si>
  <si>
    <t xml:space="preserve">2024-04-25</t>
  </si>
  <si>
    <t xml:space="preserve">2024-04-27</t>
  </si>
  <si>
    <t xml:space="preserve">PAT-039</t>
  </si>
  <si>
    <t xml:space="preserve">2024-04-28</t>
  </si>
  <si>
    <t xml:space="preserve">2024-05-02</t>
  </si>
  <si>
    <t xml:space="preserve">PAT-040</t>
  </si>
  <si>
    <t xml:space="preserve">2024-05-01</t>
  </si>
  <si>
    <t xml:space="preserve">2024-05-03</t>
  </si>
  <si>
    <t xml:space="preserve">Department Name</t>
  </si>
  <si>
    <t xml:space="preserve">Bed Capacity</t>
  </si>
  <si>
    <t xml:space="preserve">Head of Dept</t>
  </si>
  <si>
    <t xml:space="preserve">Source Note</t>
  </si>
  <si>
    <t xml:space="preserve">Cardiology</t>
  </si>
  <si>
    <t xml:space="preserve">Dr. Sarah Mitchell</t>
  </si>
  <si>
    <t xml:space="preserve">VLOOKUP from [Hospital_Reference.xlsx]Departments - formula: =VLOOKUP(A2,[Hospital_Reference.xlsx]Departments!$A:$E,2,FALSE) - open both files in Excel to activate</t>
  </si>
  <si>
    <t xml:space="preserve">Orthopaedics</t>
  </si>
  <si>
    <t xml:space="preserve">Dr. James Osei</t>
  </si>
  <si>
    <t xml:space="preserve">Cross-workbook VLOOKUP from Hospital_Reference.xlsx (see row 2)</t>
  </si>
  <si>
    <t xml:space="preserve">Paediatrics</t>
  </si>
  <si>
    <t xml:space="preserve">Dr. Amelia Nwosu</t>
  </si>
  <si>
    <t xml:space="preserve">Neurology</t>
  </si>
  <si>
    <t xml:space="preserve">Dr. David Firth</t>
  </si>
  <si>
    <t xml:space="preserve">Oncology</t>
  </si>
  <si>
    <t xml:space="preserve">Dr. Rachel Adeyemi</t>
  </si>
  <si>
    <t xml:space="preserve">Accident &amp; Emergency</t>
  </si>
  <si>
    <t xml:space="preserve">Dr. Kevin Brooks</t>
  </si>
  <si>
    <t xml:space="preserve">Department</t>
  </si>
  <si>
    <t xml:space="preserve">Admissions</t>
  </si>
  <si>
    <t xml:space="preserve">Occupancy Rate %</t>
  </si>
  <si>
    <t xml:space="preserve">Readmission Rate %</t>
  </si>
  <si>
    <t xml:space="preserve">Outcomes: Discharged</t>
  </si>
  <si>
    <t xml:space="preserve">Outcomes: Other</t>
  </si>
  <si>
    <t xml:space="preserve">ALL DEPARTMENTS</t>
  </si>
  <si>
    <t xml:space="preserve">Month</t>
  </si>
  <si>
    <t xml:space="preserve">Readmissions</t>
  </si>
  <si>
    <t xml:space="preserve">Discharge Rate %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</si>
  <si>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</si>
  <si>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</si>
  <si>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</si>
  <si>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</si>
  <si>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</si>
  <si>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Age Band</t>
  </si>
  <si>
    <t xml:space="preserve">Patient Count</t>
  </si>
  <si>
    <t xml:space="preserve">Readmission Count</t>
  </si>
  <si>
    <t xml:space="preserve">Avg Age</t>
  </si>
  <si>
    <t xml:space="preserve">0-17</t>
  </si>
  <si>
    <t xml:space="preserve">18-40</t>
  </si>
  <si>
    <t xml:space="preserve">41-60</t>
  </si>
  <si>
    <t xml:space="preserve">61-80</t>
  </si>
  <si>
    <t xml:space="preserve">81+</t>
  </si>
  <si>
    <t xml:space="preserve">Parameter</t>
  </si>
  <si>
    <t xml:space="preserve">Value</t>
  </si>
  <si>
    <t xml:space="preserve">Notes</t>
  </si>
  <si>
    <t xml:space="preserve">Analysis Period</t>
  </si>
  <si>
    <t xml:space="preserve">Jan-Apr 2024</t>
  </si>
  <si>
    <t xml:space="preserve">Q1 + April 2024</t>
  </si>
  <si>
    <t xml:space="preserve">Reporting Currency</t>
  </si>
  <si>
    <t xml:space="preserve">GBP</t>
  </si>
  <si>
    <t xml:space="preserve">NHS standard</t>
  </si>
  <si>
    <t xml:space="preserve">Occupancy Base Days</t>
  </si>
  <si>
    <t xml:space="preserve">3-month rolling period</t>
  </si>
  <si>
    <t xml:space="preserve">Readmission Window</t>
  </si>
  <si>
    <t xml:space="preserve">30 days</t>
  </si>
  <si>
    <t xml:space="preserve">NHSE standard 30-day readmission metric</t>
  </si>
  <si>
    <t xml:space="preserve">Target Readmission Rate</t>
  </si>
  <si>
    <t xml:space="preserve">NHS England benchmark</t>
  </si>
  <si>
    <t xml:space="preserve">Target Occupancy Rate</t>
  </si>
  <si>
    <t xml:space="preserve">NHS recommended max occupancy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</si>
</sst>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"/>
    <numFmt numFmtId="168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2E9FC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3347"/>
      <name val="Arial"/>
      <family val="0"/>
      <charset val="1"/>
    </font>
    <font>
      <b val="true"/>
      <sz val="14"/>
      <color rgb="FF1A334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347"/>
        <bgColor rgb="FF003366"/>
      </patternFill>
    </fill>
    <fill>
      <patternFill patternType="solid">
        <fgColor rgb="FF2E9FC0"/>
        <bgColor rgb="FF4F81BD"/>
      </patternFill>
    </fill>
    <fill>
      <patternFill patternType="solid">
        <fgColor rgb="FFCEEAF4"/>
        <bgColor rgb="FFC6EFCE"/>
      </patternFill>
    </fill>
    <fill>
      <patternFill patternType="solid">
        <fgColor rgb="FFF2F2F2"/>
        <bgColor rgb="FFF9F9F9"/>
      </patternFill>
    </fill>
    <fill>
      <patternFill patternType="solid">
        <fgColor rgb="FF1F7191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C6EFCE"/>
        <bgColor rgb="FFCEEAF4"/>
      </patternFill>
    </fill>
    <fill>
      <patternFill patternType="solid">
        <fgColor rgb="FFFFC7CE"/>
        <bgColor rgb="FFD9D9D9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ont>
        <b val="1"/>
        <color rgb="FF375623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7191"/>
      <rgbColor rgb="FFC0C0C0"/>
      <rgbColor rgb="FF878787"/>
      <rgbColor rgb="FF9999FF"/>
      <rgbColor rgb="FF993366"/>
      <rgbColor rgb="FFF9F9F9"/>
      <rgbColor rgb="FFCEEA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E9FC0"/>
      <rgbColor rgb="FF003300"/>
      <rgbColor rgb="FF375623"/>
      <rgbColor rgb="FF993300"/>
      <rgbColor rgb="FF993366"/>
      <rgbColor rgb="FF333399"/>
      <rgbColor rgb="FF1A33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Admissions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Monthly_Admissions!B1</c:f>
              <c:strCache>
                <c:ptCount val="1"/>
                <c:pt idx="0">
                  <c:v>Total Admissions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Monthly_Admissions!$A$2:$A$6</c:f>
              <c:strCache>
                <c:ptCount val="5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</c:strCache>
            </c:strRef>
          </c:cat>
          <c:val>
            <c:numRef>
              <c:f>Monthly_Admissions!$B$2:$B$6</c:f>
              <c:numCache>
                <c:formatCode>0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10770394"/>
        <c:axId val="94908808"/>
      </c:barChart>
      <c:catAx>
        <c:axId val="107703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08808"/>
        <c:crosses val="autoZero"/>
        <c:auto val="1"/>
        <c:lblAlgn val="ctr"/>
        <c:lblOffset val="100"/>
        <c:noMultiLvlLbl val="0"/>
      </c:catAx>
      <c:valAx>
        <c:axId val="94908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70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190440</xdr:rowOff>
    </xdr:from>
    <xdr:to>
      <xdr:col>19</xdr:col>
      <xdr:colOff>473040</xdr:colOff>
      <xdr:row>23</xdr:row>
      <xdr:rowOff>15840</xdr:rowOff>
    </xdr:to>
    <xdr:graphicFrame>
      <xdr:nvGraphicFramePr>
        <xdr:cNvPr id="0" name="Chart 1"/>
        <xdr:cNvGraphicFramePr/>
      </xdr:nvGraphicFramePr>
      <xdr:xfrm>
        <a:off x="7730640" y="190440"/>
        <a:ext cx="719928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25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customFormat="false" ht="39.75" hidden="false" customHeight="true" outlineLevel="0" collapsed="false">
      <c r="A5" s="6" t="n">
        <f aca="false">COUNTA(Patients!A2:A41)</f>
        <v>40</v>
      </c>
      <c r="B5" s="6" t="n">
        <f aca="false">SUM(Patients!J2:J41)</f>
        <v>5</v>
      </c>
      <c r="C5" s="7" t="n">
        <f aca="false">IFERROR(B5/A5,0)</f>
        <v>0.125</v>
      </c>
      <c r="D5" s="8" t="n">
        <f aca="false">AVERAGE(Patients!H2:H41)</f>
        <v>3.975</v>
      </c>
      <c r="E5" s="7" t="n">
        <f aca="false">IFERROR(COUNTIF(Patients!I2:I41,"Deceased")/COUNTA(Patients!A2:A41),0)</f>
        <v>0.075</v>
      </c>
      <c r="F5" s="6" t="n">
        <f aca="false">COUNTA(Dept_Reference!A2:A7)</f>
        <v>6</v>
      </c>
      <c r="G5" s="6" t="n">
        <f aca="false">SUM(Dept_Reference!C2:C7)</f>
        <v>178</v>
      </c>
      <c r="H5" s="7" t="n">
        <f aca="false">IFERROR(COUNTIF(Patients!I2:I41,"Discharged")/COUNTA(Patients!A2:A41),0)</f>
        <v>0.85</v>
      </c>
    </row>
    <row r="7" customFormat="false" ht="21.75" hidden="false" customHeight="true" outlineLevel="0" collapsed="false">
      <c r="A7" s="9" t="s">
        <v>11</v>
      </c>
      <c r="B7" s="9"/>
      <c r="C7" s="9"/>
      <c r="D7" s="9"/>
      <c r="E7" s="9"/>
      <c r="F7" s="9"/>
      <c r="G7" s="9"/>
      <c r="H7" s="9"/>
    </row>
    <row r="8" customFormat="false" ht="18" hidden="false" customHeight="true" outlineLevel="0" collapsed="false">
      <c r="A8" s="10" t="s">
        <v>12</v>
      </c>
      <c r="B8" s="11" t="s">
        <v>13</v>
      </c>
      <c r="C8" s="11"/>
      <c r="D8" s="11"/>
      <c r="E8" s="11"/>
      <c r="F8" s="11"/>
      <c r="G8" s="11"/>
      <c r="H8" s="11"/>
    </row>
    <row r="9" customFormat="false" ht="18" hidden="false" customHeight="true" outlineLevel="0" collapsed="false">
      <c r="A9" s="12" t="s">
        <v>14</v>
      </c>
      <c r="B9" s="13" t="s">
        <v>15</v>
      </c>
      <c r="C9" s="13"/>
      <c r="D9" s="13"/>
      <c r="E9" s="13"/>
      <c r="F9" s="13"/>
      <c r="G9" s="13"/>
      <c r="H9" s="13"/>
    </row>
    <row r="10" customFormat="false" ht="18" hidden="false" customHeight="true" outlineLevel="0" collapsed="false">
      <c r="A10" s="10" t="s">
        <v>16</v>
      </c>
      <c r="B10" s="11" t="s">
        <v>17</v>
      </c>
      <c r="C10" s="11"/>
      <c r="D10" s="11"/>
      <c r="E10" s="11"/>
      <c r="F10" s="11"/>
      <c r="G10" s="11"/>
      <c r="H10" s="11"/>
    </row>
    <row r="11" customFormat="false" ht="18" hidden="false" customHeight="true" outlineLevel="0" collapsed="false">
      <c r="A11" s="12" t="s">
        <v>18</v>
      </c>
      <c r="B11" s="13" t="s">
        <v>19</v>
      </c>
      <c r="C11" s="13"/>
      <c r="D11" s="13"/>
      <c r="E11" s="13"/>
      <c r="F11" s="13"/>
      <c r="G11" s="13"/>
      <c r="H11" s="13"/>
    </row>
    <row r="12" customFormat="false" ht="18" hidden="false" customHeight="true" outlineLevel="0" collapsed="false">
      <c r="A12" s="10" t="s">
        <v>20</v>
      </c>
      <c r="B12" s="11" t="s">
        <v>21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22</v>
      </c>
      <c r="B13" s="13" t="s">
        <v>23</v>
      </c>
      <c r="C13" s="13"/>
      <c r="D13" s="13"/>
      <c r="E13" s="13"/>
      <c r="F13" s="13"/>
      <c r="G13" s="13"/>
      <c r="H13" s="13"/>
    </row>
  </sheetData>
  <mergeCells count="10">
    <mergeCell ref="A1:H1"/>
    <mergeCell ref="A2:H2"/>
    <mergeCell ref="A3:H3"/>
    <mergeCell ref="A7:H7"/>
    <mergeCell ref="B8:H8"/>
    <mergeCell ref="B9:H9"/>
    <mergeCell ref="B10:H10"/>
    <mergeCell ref="B11:H11"/>
    <mergeCell ref="B12:H12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7"/>
    <col collapsed="false" customWidth="true" hidden="false" outlineLevel="0" max="5" min="5" style="1" width="9"/>
    <col collapsed="false" customWidth="true" hidden="false" outlineLevel="0" max="8" min="6" style="1" width="12"/>
    <col collapsed="false" customWidth="true" hidden="false" outlineLevel="0" max="9" min="9" style="1" width="14"/>
    <col collapsed="false" customWidth="true" hidden="false" outlineLevel="0" max="10" min="10" style="1" width="16"/>
  </cols>
  <sheetData>
    <row r="1" customFormat="false" ht="27.75" hidden="false" customHeight="true" outlineLevel="0" collapsed="false">
      <c r="A1" s="14" t="s">
        <v>24</v>
      </c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  <c r="H1" s="14" t="s">
        <v>31</v>
      </c>
      <c r="I1" s="14" t="s">
        <v>32</v>
      </c>
      <c r="J1" s="14" t="s">
        <v>33</v>
      </c>
    </row>
    <row r="2" customFormat="false" ht="15" hidden="false" customHeight="true" outlineLevel="0" collapsed="false">
      <c r="A2" s="15" t="s">
        <v>34</v>
      </c>
      <c r="B2" s="16" t="s">
        <v>35</v>
      </c>
      <c r="C2" s="16" t="s">
        <v>36</v>
      </c>
      <c r="D2" s="17" t="n">
        <v>67</v>
      </c>
      <c r="E2" s="15" t="s">
        <v>37</v>
      </c>
      <c r="F2" s="15" t="s">
        <v>38</v>
      </c>
      <c r="G2" s="15" t="s">
        <v>39</v>
      </c>
      <c r="H2" s="17" t="n">
        <v>5</v>
      </c>
      <c r="I2" s="15" t="s">
        <v>40</v>
      </c>
      <c r="J2" s="18" t="n">
        <v>0</v>
      </c>
    </row>
    <row r="3" customFormat="false" ht="15" hidden="false" customHeight="true" outlineLevel="0" collapsed="false">
      <c r="A3" s="19" t="s">
        <v>41</v>
      </c>
      <c r="B3" s="20" t="s">
        <v>42</v>
      </c>
      <c r="C3" s="20" t="s">
        <v>43</v>
      </c>
      <c r="D3" s="21" t="n">
        <v>54</v>
      </c>
      <c r="E3" s="19" t="s">
        <v>44</v>
      </c>
      <c r="F3" s="19" t="s">
        <v>38</v>
      </c>
      <c r="G3" s="19" t="s">
        <v>45</v>
      </c>
      <c r="H3" s="21" t="n">
        <v>2</v>
      </c>
      <c r="I3" s="19" t="s">
        <v>40</v>
      </c>
      <c r="J3" s="18" t="n">
        <v>0</v>
      </c>
    </row>
    <row r="4" customFormat="false" ht="15" hidden="false" customHeight="true" outlineLevel="0" collapsed="false">
      <c r="A4" s="15" t="s">
        <v>46</v>
      </c>
      <c r="B4" s="16" t="s">
        <v>43</v>
      </c>
      <c r="C4" s="16" t="s">
        <v>47</v>
      </c>
      <c r="D4" s="17" t="n">
        <v>72</v>
      </c>
      <c r="E4" s="15" t="s">
        <v>37</v>
      </c>
      <c r="F4" s="15" t="s">
        <v>48</v>
      </c>
      <c r="G4" s="15" t="s">
        <v>49</v>
      </c>
      <c r="H4" s="17" t="n">
        <v>4</v>
      </c>
      <c r="I4" s="15" t="s">
        <v>40</v>
      </c>
      <c r="J4" s="18" t="n">
        <v>0</v>
      </c>
    </row>
    <row r="5" customFormat="false" ht="15" hidden="false" customHeight="true" outlineLevel="0" collapsed="false">
      <c r="A5" s="19" t="s">
        <v>50</v>
      </c>
      <c r="B5" s="20" t="s">
        <v>51</v>
      </c>
      <c r="C5" s="20" t="s">
        <v>52</v>
      </c>
      <c r="D5" s="21" t="n">
        <v>35</v>
      </c>
      <c r="E5" s="19" t="s">
        <v>44</v>
      </c>
      <c r="F5" s="19" t="s">
        <v>53</v>
      </c>
      <c r="G5" s="19" t="s">
        <v>54</v>
      </c>
      <c r="H5" s="21" t="n">
        <v>1</v>
      </c>
      <c r="I5" s="19" t="s">
        <v>40</v>
      </c>
      <c r="J5" s="18" t="n">
        <v>0</v>
      </c>
    </row>
    <row r="6" customFormat="false" ht="15" hidden="false" customHeight="true" outlineLevel="0" collapsed="false">
      <c r="A6" s="15" t="s">
        <v>55</v>
      </c>
      <c r="B6" s="16" t="s">
        <v>56</v>
      </c>
      <c r="C6" s="16" t="s">
        <v>57</v>
      </c>
      <c r="D6" s="17" t="n">
        <v>61</v>
      </c>
      <c r="E6" s="15" t="s">
        <v>37</v>
      </c>
      <c r="F6" s="15" t="s">
        <v>58</v>
      </c>
      <c r="G6" s="15" t="s">
        <v>59</v>
      </c>
      <c r="H6" s="17" t="n">
        <v>8</v>
      </c>
      <c r="I6" s="15" t="s">
        <v>40</v>
      </c>
      <c r="J6" s="22" t="n">
        <v>1</v>
      </c>
    </row>
    <row r="7" customFormat="false" ht="15" hidden="false" customHeight="true" outlineLevel="0" collapsed="false">
      <c r="A7" s="19" t="s">
        <v>60</v>
      </c>
      <c r="B7" s="20" t="s">
        <v>61</v>
      </c>
      <c r="C7" s="20" t="s">
        <v>62</v>
      </c>
      <c r="D7" s="21" t="n">
        <v>78</v>
      </c>
      <c r="E7" s="19" t="s">
        <v>44</v>
      </c>
      <c r="F7" s="19" t="s">
        <v>63</v>
      </c>
      <c r="G7" s="19" t="s">
        <v>64</v>
      </c>
      <c r="H7" s="21" t="n">
        <v>4</v>
      </c>
      <c r="I7" s="19" t="s">
        <v>65</v>
      </c>
      <c r="J7" s="18" t="n">
        <v>0</v>
      </c>
    </row>
    <row r="8" customFormat="false" ht="15" hidden="false" customHeight="true" outlineLevel="0" collapsed="false">
      <c r="A8" s="15" t="s">
        <v>66</v>
      </c>
      <c r="B8" s="16" t="s">
        <v>67</v>
      </c>
      <c r="C8" s="16" t="s">
        <v>57</v>
      </c>
      <c r="D8" s="17" t="n">
        <v>9</v>
      </c>
      <c r="E8" s="15" t="s">
        <v>37</v>
      </c>
      <c r="F8" s="15" t="s">
        <v>68</v>
      </c>
      <c r="G8" s="15" t="s">
        <v>69</v>
      </c>
      <c r="H8" s="17" t="n">
        <v>4</v>
      </c>
      <c r="I8" s="15" t="s">
        <v>40</v>
      </c>
      <c r="J8" s="18" t="n">
        <v>0</v>
      </c>
    </row>
    <row r="9" customFormat="false" ht="15" hidden="false" customHeight="true" outlineLevel="0" collapsed="false">
      <c r="A9" s="19" t="s">
        <v>70</v>
      </c>
      <c r="B9" s="20" t="s">
        <v>71</v>
      </c>
      <c r="C9" s="20" t="s">
        <v>72</v>
      </c>
      <c r="D9" s="21" t="n">
        <v>45</v>
      </c>
      <c r="E9" s="19" t="s">
        <v>44</v>
      </c>
      <c r="F9" s="19" t="s">
        <v>48</v>
      </c>
      <c r="G9" s="19" t="s">
        <v>73</v>
      </c>
      <c r="H9" s="21" t="n">
        <v>2</v>
      </c>
      <c r="I9" s="19" t="s">
        <v>40</v>
      </c>
      <c r="J9" s="18" t="n">
        <v>0</v>
      </c>
    </row>
    <row r="10" customFormat="false" ht="15" hidden="false" customHeight="true" outlineLevel="0" collapsed="false">
      <c r="A10" s="15" t="s">
        <v>74</v>
      </c>
      <c r="B10" s="16" t="s">
        <v>75</v>
      </c>
      <c r="C10" s="16" t="s">
        <v>76</v>
      </c>
      <c r="D10" s="17" t="n">
        <v>58</v>
      </c>
      <c r="E10" s="15" t="s">
        <v>37</v>
      </c>
      <c r="F10" s="15" t="s">
        <v>38</v>
      </c>
      <c r="G10" s="15" t="s">
        <v>45</v>
      </c>
      <c r="H10" s="17" t="n">
        <v>2</v>
      </c>
      <c r="I10" s="15" t="s">
        <v>40</v>
      </c>
      <c r="J10" s="18" t="n">
        <v>0</v>
      </c>
    </row>
    <row r="11" customFormat="false" ht="15" hidden="false" customHeight="true" outlineLevel="0" collapsed="false">
      <c r="A11" s="19" t="s">
        <v>77</v>
      </c>
      <c r="B11" s="20" t="s">
        <v>78</v>
      </c>
      <c r="C11" s="20" t="s">
        <v>79</v>
      </c>
      <c r="D11" s="21" t="n">
        <v>70</v>
      </c>
      <c r="E11" s="19" t="s">
        <v>44</v>
      </c>
      <c r="F11" s="19" t="s">
        <v>58</v>
      </c>
      <c r="G11" s="19" t="s">
        <v>59</v>
      </c>
      <c r="H11" s="21" t="n">
        <v>8</v>
      </c>
      <c r="I11" s="19" t="s">
        <v>80</v>
      </c>
      <c r="J11" s="18" t="n">
        <v>0</v>
      </c>
    </row>
    <row r="12" customFormat="false" ht="15" hidden="false" customHeight="true" outlineLevel="0" collapsed="false">
      <c r="A12" s="15" t="s">
        <v>81</v>
      </c>
      <c r="B12" s="16" t="s">
        <v>82</v>
      </c>
      <c r="C12" s="16" t="s">
        <v>83</v>
      </c>
      <c r="D12" s="17" t="n">
        <v>63</v>
      </c>
      <c r="E12" s="15" t="s">
        <v>37</v>
      </c>
      <c r="F12" s="15" t="s">
        <v>38</v>
      </c>
      <c r="G12" s="15" t="s">
        <v>39</v>
      </c>
      <c r="H12" s="17" t="n">
        <v>5</v>
      </c>
      <c r="I12" s="15" t="s">
        <v>40</v>
      </c>
      <c r="J12" s="22" t="n">
        <v>1</v>
      </c>
    </row>
    <row r="13" customFormat="false" ht="15" hidden="false" customHeight="true" outlineLevel="0" collapsed="false">
      <c r="A13" s="19" t="s">
        <v>84</v>
      </c>
      <c r="B13" s="20" t="s">
        <v>85</v>
      </c>
      <c r="C13" s="20" t="s">
        <v>83</v>
      </c>
      <c r="D13" s="21" t="n">
        <v>28</v>
      </c>
      <c r="E13" s="19" t="s">
        <v>44</v>
      </c>
      <c r="F13" s="19" t="s">
        <v>53</v>
      </c>
      <c r="G13" s="19" t="s">
        <v>54</v>
      </c>
      <c r="H13" s="21" t="n">
        <v>2</v>
      </c>
      <c r="I13" s="19" t="s">
        <v>40</v>
      </c>
      <c r="J13" s="18" t="n">
        <v>0</v>
      </c>
    </row>
    <row r="14" customFormat="false" ht="15" hidden="false" customHeight="true" outlineLevel="0" collapsed="false">
      <c r="A14" s="15" t="s">
        <v>86</v>
      </c>
      <c r="B14" s="16" t="s">
        <v>87</v>
      </c>
      <c r="C14" s="16" t="s">
        <v>88</v>
      </c>
      <c r="D14" s="17" t="n">
        <v>55</v>
      </c>
      <c r="E14" s="15" t="s">
        <v>37</v>
      </c>
      <c r="F14" s="15" t="s">
        <v>63</v>
      </c>
      <c r="G14" s="15" t="s">
        <v>64</v>
      </c>
      <c r="H14" s="17" t="n">
        <v>6</v>
      </c>
      <c r="I14" s="15" t="s">
        <v>40</v>
      </c>
      <c r="J14" s="18" t="n">
        <v>0</v>
      </c>
    </row>
    <row r="15" customFormat="false" ht="15" hidden="false" customHeight="true" outlineLevel="0" collapsed="false">
      <c r="A15" s="19" t="s">
        <v>89</v>
      </c>
      <c r="B15" s="20" t="s">
        <v>90</v>
      </c>
      <c r="C15" s="20" t="s">
        <v>91</v>
      </c>
      <c r="D15" s="21" t="n">
        <v>41</v>
      </c>
      <c r="E15" s="19" t="s">
        <v>44</v>
      </c>
      <c r="F15" s="19" t="s">
        <v>48</v>
      </c>
      <c r="G15" s="19" t="s">
        <v>49</v>
      </c>
      <c r="H15" s="21" t="n">
        <v>4</v>
      </c>
      <c r="I15" s="19" t="s">
        <v>40</v>
      </c>
      <c r="J15" s="18" t="n">
        <v>0</v>
      </c>
    </row>
    <row r="16" customFormat="false" ht="15" hidden="false" customHeight="true" outlineLevel="0" collapsed="false">
      <c r="A16" s="15" t="s">
        <v>92</v>
      </c>
      <c r="B16" s="16" t="s">
        <v>88</v>
      </c>
      <c r="C16" s="16" t="s">
        <v>93</v>
      </c>
      <c r="D16" s="17" t="n">
        <v>7</v>
      </c>
      <c r="E16" s="15" t="s">
        <v>37</v>
      </c>
      <c r="F16" s="15" t="s">
        <v>68</v>
      </c>
      <c r="G16" s="15" t="s">
        <v>69</v>
      </c>
      <c r="H16" s="17" t="n">
        <v>4</v>
      </c>
      <c r="I16" s="15" t="s">
        <v>40</v>
      </c>
      <c r="J16" s="18" t="n">
        <v>0</v>
      </c>
    </row>
    <row r="17" customFormat="false" ht="15" hidden="false" customHeight="true" outlineLevel="0" collapsed="false">
      <c r="A17" s="19" t="s">
        <v>94</v>
      </c>
      <c r="B17" s="20" t="s">
        <v>95</v>
      </c>
      <c r="C17" s="20" t="s">
        <v>96</v>
      </c>
      <c r="D17" s="21" t="n">
        <v>82</v>
      </c>
      <c r="E17" s="19" t="s">
        <v>44</v>
      </c>
      <c r="F17" s="19" t="s">
        <v>38</v>
      </c>
      <c r="G17" s="19" t="s">
        <v>45</v>
      </c>
      <c r="H17" s="21" t="n">
        <v>2</v>
      </c>
      <c r="I17" s="19" t="s">
        <v>40</v>
      </c>
      <c r="J17" s="18" t="n">
        <v>0</v>
      </c>
    </row>
    <row r="18" customFormat="false" ht="15" hidden="false" customHeight="true" outlineLevel="0" collapsed="false">
      <c r="A18" s="15" t="s">
        <v>97</v>
      </c>
      <c r="B18" s="16" t="s">
        <v>98</v>
      </c>
      <c r="C18" s="16" t="s">
        <v>99</v>
      </c>
      <c r="D18" s="17" t="n">
        <v>66</v>
      </c>
      <c r="E18" s="15" t="s">
        <v>37</v>
      </c>
      <c r="F18" s="15" t="s">
        <v>58</v>
      </c>
      <c r="G18" s="15" t="s">
        <v>59</v>
      </c>
      <c r="H18" s="17" t="n">
        <v>4</v>
      </c>
      <c r="I18" s="15" t="s">
        <v>65</v>
      </c>
      <c r="J18" s="18" t="n">
        <v>0</v>
      </c>
    </row>
    <row r="19" customFormat="false" ht="15" hidden="false" customHeight="true" outlineLevel="0" collapsed="false">
      <c r="A19" s="19" t="s">
        <v>100</v>
      </c>
      <c r="B19" s="20" t="s">
        <v>101</v>
      </c>
      <c r="C19" s="20" t="s">
        <v>102</v>
      </c>
      <c r="D19" s="21" t="n">
        <v>39</v>
      </c>
      <c r="E19" s="19" t="s">
        <v>44</v>
      </c>
      <c r="F19" s="19" t="s">
        <v>53</v>
      </c>
      <c r="G19" s="19" t="s">
        <v>54</v>
      </c>
      <c r="H19" s="21" t="n">
        <v>2</v>
      </c>
      <c r="I19" s="19" t="s">
        <v>40</v>
      </c>
      <c r="J19" s="18" t="n">
        <v>0</v>
      </c>
    </row>
    <row r="20" customFormat="false" ht="15" hidden="false" customHeight="true" outlineLevel="0" collapsed="false">
      <c r="A20" s="15" t="s">
        <v>103</v>
      </c>
      <c r="B20" s="16" t="s">
        <v>104</v>
      </c>
      <c r="C20" s="16" t="s">
        <v>105</v>
      </c>
      <c r="D20" s="17" t="n">
        <v>74</v>
      </c>
      <c r="E20" s="15" t="s">
        <v>37</v>
      </c>
      <c r="F20" s="15" t="s">
        <v>38</v>
      </c>
      <c r="G20" s="15" t="s">
        <v>39</v>
      </c>
      <c r="H20" s="17" t="n">
        <v>4</v>
      </c>
      <c r="I20" s="15" t="s">
        <v>40</v>
      </c>
      <c r="J20" s="18" t="n">
        <v>0</v>
      </c>
    </row>
    <row r="21" customFormat="false" ht="15" hidden="false" customHeight="true" outlineLevel="0" collapsed="false">
      <c r="A21" s="19" t="s">
        <v>106</v>
      </c>
      <c r="B21" s="20" t="s">
        <v>107</v>
      </c>
      <c r="C21" s="20" t="s">
        <v>108</v>
      </c>
      <c r="D21" s="21" t="n">
        <v>50</v>
      </c>
      <c r="E21" s="19" t="s">
        <v>44</v>
      </c>
      <c r="F21" s="19" t="s">
        <v>48</v>
      </c>
      <c r="G21" s="19" t="s">
        <v>73</v>
      </c>
      <c r="H21" s="21" t="n">
        <v>3</v>
      </c>
      <c r="I21" s="19" t="s">
        <v>40</v>
      </c>
      <c r="J21" s="18" t="n">
        <v>0</v>
      </c>
    </row>
    <row r="22" customFormat="false" ht="15" hidden="false" customHeight="true" outlineLevel="0" collapsed="false">
      <c r="A22" s="15" t="s">
        <v>109</v>
      </c>
      <c r="B22" s="16" t="s">
        <v>108</v>
      </c>
      <c r="C22" s="16" t="s">
        <v>110</v>
      </c>
      <c r="D22" s="17" t="n">
        <v>69</v>
      </c>
      <c r="E22" s="15" t="s">
        <v>37</v>
      </c>
      <c r="F22" s="15" t="s">
        <v>58</v>
      </c>
      <c r="G22" s="15" t="s">
        <v>59</v>
      </c>
      <c r="H22" s="17" t="n">
        <v>8</v>
      </c>
      <c r="I22" s="15" t="s">
        <v>40</v>
      </c>
      <c r="J22" s="22" t="n">
        <v>1</v>
      </c>
    </row>
    <row r="23" customFormat="false" ht="15" hidden="false" customHeight="true" outlineLevel="0" collapsed="false">
      <c r="A23" s="19" t="s">
        <v>111</v>
      </c>
      <c r="B23" s="20" t="s">
        <v>112</v>
      </c>
      <c r="C23" s="20" t="s">
        <v>113</v>
      </c>
      <c r="D23" s="21" t="n">
        <v>33</v>
      </c>
      <c r="E23" s="19" t="s">
        <v>44</v>
      </c>
      <c r="F23" s="19" t="s">
        <v>53</v>
      </c>
      <c r="G23" s="19" t="s">
        <v>54</v>
      </c>
      <c r="H23" s="21" t="n">
        <v>2</v>
      </c>
      <c r="I23" s="19" t="s">
        <v>40</v>
      </c>
      <c r="J23" s="18" t="n">
        <v>0</v>
      </c>
    </row>
    <row r="24" customFormat="false" ht="15" hidden="false" customHeight="true" outlineLevel="0" collapsed="false">
      <c r="A24" s="15" t="s">
        <v>114</v>
      </c>
      <c r="B24" s="16" t="s">
        <v>115</v>
      </c>
      <c r="C24" s="16" t="s">
        <v>116</v>
      </c>
      <c r="D24" s="17" t="n">
        <v>61</v>
      </c>
      <c r="E24" s="15" t="s">
        <v>37</v>
      </c>
      <c r="F24" s="15" t="s">
        <v>63</v>
      </c>
      <c r="G24" s="15" t="s">
        <v>64</v>
      </c>
      <c r="H24" s="17" t="n">
        <v>6</v>
      </c>
      <c r="I24" s="15" t="s">
        <v>40</v>
      </c>
      <c r="J24" s="18" t="n">
        <v>0</v>
      </c>
    </row>
    <row r="25" customFormat="false" ht="15" hidden="false" customHeight="true" outlineLevel="0" collapsed="false">
      <c r="A25" s="19" t="s">
        <v>117</v>
      </c>
      <c r="B25" s="20" t="s">
        <v>118</v>
      </c>
      <c r="C25" s="20" t="s">
        <v>119</v>
      </c>
      <c r="D25" s="21" t="n">
        <v>48</v>
      </c>
      <c r="E25" s="19" t="s">
        <v>44</v>
      </c>
      <c r="F25" s="19" t="s">
        <v>38</v>
      </c>
      <c r="G25" s="19" t="s">
        <v>45</v>
      </c>
      <c r="H25" s="21" t="n">
        <v>4</v>
      </c>
      <c r="I25" s="19" t="s">
        <v>40</v>
      </c>
      <c r="J25" s="18" t="n">
        <v>0</v>
      </c>
    </row>
    <row r="26" customFormat="false" ht="15" hidden="false" customHeight="true" outlineLevel="0" collapsed="false">
      <c r="A26" s="15" t="s">
        <v>120</v>
      </c>
      <c r="B26" s="16" t="s">
        <v>116</v>
      </c>
      <c r="C26" s="16" t="s">
        <v>121</v>
      </c>
      <c r="D26" s="17" t="n">
        <v>12</v>
      </c>
      <c r="E26" s="15" t="s">
        <v>37</v>
      </c>
      <c r="F26" s="15" t="s">
        <v>68</v>
      </c>
      <c r="G26" s="15" t="s">
        <v>69</v>
      </c>
      <c r="H26" s="17" t="n">
        <v>4</v>
      </c>
      <c r="I26" s="15" t="s">
        <v>40</v>
      </c>
      <c r="J26" s="18" t="n">
        <v>0</v>
      </c>
    </row>
    <row r="27" customFormat="false" ht="15" hidden="false" customHeight="true" outlineLevel="0" collapsed="false">
      <c r="A27" s="19" t="s">
        <v>122</v>
      </c>
      <c r="B27" s="20" t="s">
        <v>123</v>
      </c>
      <c r="C27" s="20" t="s">
        <v>121</v>
      </c>
      <c r="D27" s="21" t="n">
        <v>88</v>
      </c>
      <c r="E27" s="19" t="s">
        <v>44</v>
      </c>
      <c r="F27" s="19" t="s">
        <v>53</v>
      </c>
      <c r="G27" s="19" t="s">
        <v>54</v>
      </c>
      <c r="H27" s="21" t="n">
        <v>1</v>
      </c>
      <c r="I27" s="19" t="s">
        <v>80</v>
      </c>
      <c r="J27" s="18" t="n">
        <v>0</v>
      </c>
    </row>
    <row r="28" customFormat="false" ht="15" hidden="false" customHeight="true" outlineLevel="0" collapsed="false">
      <c r="A28" s="15" t="s">
        <v>124</v>
      </c>
      <c r="B28" s="16" t="s">
        <v>125</v>
      </c>
      <c r="C28" s="16" t="s">
        <v>126</v>
      </c>
      <c r="D28" s="17" t="n">
        <v>73</v>
      </c>
      <c r="E28" s="15" t="s">
        <v>37</v>
      </c>
      <c r="F28" s="15" t="s">
        <v>38</v>
      </c>
      <c r="G28" s="15" t="s">
        <v>39</v>
      </c>
      <c r="H28" s="17" t="n">
        <v>7</v>
      </c>
      <c r="I28" s="15" t="s">
        <v>40</v>
      </c>
      <c r="J28" s="18" t="n">
        <v>0</v>
      </c>
    </row>
    <row r="29" customFormat="false" ht="15" hidden="false" customHeight="true" outlineLevel="0" collapsed="false">
      <c r="A29" s="19" t="s">
        <v>127</v>
      </c>
      <c r="B29" s="20" t="s">
        <v>128</v>
      </c>
      <c r="C29" s="20" t="s">
        <v>129</v>
      </c>
      <c r="D29" s="21" t="n">
        <v>56</v>
      </c>
      <c r="E29" s="19" t="s">
        <v>44</v>
      </c>
      <c r="F29" s="19" t="s">
        <v>48</v>
      </c>
      <c r="G29" s="19" t="s">
        <v>49</v>
      </c>
      <c r="H29" s="21" t="n">
        <v>2</v>
      </c>
      <c r="I29" s="19" t="s">
        <v>40</v>
      </c>
      <c r="J29" s="18" t="n">
        <v>0</v>
      </c>
    </row>
    <row r="30" customFormat="false" ht="15" hidden="false" customHeight="true" outlineLevel="0" collapsed="false">
      <c r="A30" s="15" t="s">
        <v>130</v>
      </c>
      <c r="B30" s="16" t="s">
        <v>131</v>
      </c>
      <c r="C30" s="16" t="s">
        <v>132</v>
      </c>
      <c r="D30" s="17" t="n">
        <v>64</v>
      </c>
      <c r="E30" s="15" t="s">
        <v>37</v>
      </c>
      <c r="F30" s="15" t="s">
        <v>58</v>
      </c>
      <c r="G30" s="15" t="s">
        <v>59</v>
      </c>
      <c r="H30" s="17" t="n">
        <v>8</v>
      </c>
      <c r="I30" s="15" t="s">
        <v>40</v>
      </c>
      <c r="J30" s="22" t="n">
        <v>1</v>
      </c>
    </row>
    <row r="31" customFormat="false" ht="15" hidden="false" customHeight="true" outlineLevel="0" collapsed="false">
      <c r="A31" s="19" t="s">
        <v>133</v>
      </c>
      <c r="B31" s="20" t="s">
        <v>134</v>
      </c>
      <c r="C31" s="20" t="s">
        <v>135</v>
      </c>
      <c r="D31" s="21" t="n">
        <v>29</v>
      </c>
      <c r="E31" s="19" t="s">
        <v>44</v>
      </c>
      <c r="F31" s="19" t="s">
        <v>53</v>
      </c>
      <c r="G31" s="19" t="s">
        <v>54</v>
      </c>
      <c r="H31" s="21" t="n">
        <v>2</v>
      </c>
      <c r="I31" s="19" t="s">
        <v>40</v>
      </c>
      <c r="J31" s="18" t="n">
        <v>0</v>
      </c>
    </row>
    <row r="32" customFormat="false" ht="15" hidden="false" customHeight="true" outlineLevel="0" collapsed="false">
      <c r="A32" s="15" t="s">
        <v>136</v>
      </c>
      <c r="B32" s="16" t="s">
        <v>137</v>
      </c>
      <c r="C32" s="16" t="s">
        <v>138</v>
      </c>
      <c r="D32" s="17" t="n">
        <v>71</v>
      </c>
      <c r="E32" s="15" t="s">
        <v>37</v>
      </c>
      <c r="F32" s="15" t="s">
        <v>38</v>
      </c>
      <c r="G32" s="15" t="s">
        <v>39</v>
      </c>
      <c r="H32" s="17" t="n">
        <v>5</v>
      </c>
      <c r="I32" s="15" t="s">
        <v>40</v>
      </c>
      <c r="J32" s="18" t="n">
        <v>0</v>
      </c>
    </row>
    <row r="33" customFormat="false" ht="15" hidden="false" customHeight="true" outlineLevel="0" collapsed="false">
      <c r="A33" s="19" t="s">
        <v>139</v>
      </c>
      <c r="B33" s="20" t="s">
        <v>140</v>
      </c>
      <c r="C33" s="20" t="s">
        <v>141</v>
      </c>
      <c r="D33" s="21" t="n">
        <v>58</v>
      </c>
      <c r="E33" s="19" t="s">
        <v>44</v>
      </c>
      <c r="F33" s="19" t="s">
        <v>63</v>
      </c>
      <c r="G33" s="19" t="s">
        <v>64</v>
      </c>
      <c r="H33" s="21" t="n">
        <v>6</v>
      </c>
      <c r="I33" s="19" t="s">
        <v>65</v>
      </c>
      <c r="J33" s="18" t="n">
        <v>0</v>
      </c>
    </row>
    <row r="34" customFormat="false" ht="15" hidden="false" customHeight="true" outlineLevel="0" collapsed="false">
      <c r="A34" s="15" t="s">
        <v>142</v>
      </c>
      <c r="B34" s="16" t="s">
        <v>143</v>
      </c>
      <c r="C34" s="16" t="s">
        <v>144</v>
      </c>
      <c r="D34" s="17" t="n">
        <v>6</v>
      </c>
      <c r="E34" s="15" t="s">
        <v>37</v>
      </c>
      <c r="F34" s="15" t="s">
        <v>68</v>
      </c>
      <c r="G34" s="15" t="s">
        <v>69</v>
      </c>
      <c r="H34" s="17" t="n">
        <v>4</v>
      </c>
      <c r="I34" s="15" t="s">
        <v>40</v>
      </c>
      <c r="J34" s="18" t="n">
        <v>0</v>
      </c>
    </row>
    <row r="35" customFormat="false" ht="15" hidden="false" customHeight="true" outlineLevel="0" collapsed="false">
      <c r="A35" s="19" t="s">
        <v>145</v>
      </c>
      <c r="B35" s="20" t="s">
        <v>141</v>
      </c>
      <c r="C35" s="20" t="s">
        <v>146</v>
      </c>
      <c r="D35" s="21" t="n">
        <v>44</v>
      </c>
      <c r="E35" s="19" t="s">
        <v>44</v>
      </c>
      <c r="F35" s="19" t="s">
        <v>48</v>
      </c>
      <c r="G35" s="19" t="s">
        <v>73</v>
      </c>
      <c r="H35" s="21" t="n">
        <v>2</v>
      </c>
      <c r="I35" s="19" t="s">
        <v>40</v>
      </c>
      <c r="J35" s="18" t="n">
        <v>0</v>
      </c>
    </row>
    <row r="36" customFormat="false" ht="15" hidden="false" customHeight="true" outlineLevel="0" collapsed="false">
      <c r="A36" s="15" t="s">
        <v>147</v>
      </c>
      <c r="B36" s="16" t="s">
        <v>148</v>
      </c>
      <c r="C36" s="16" t="s">
        <v>149</v>
      </c>
      <c r="D36" s="17" t="n">
        <v>77</v>
      </c>
      <c r="E36" s="15" t="s">
        <v>37</v>
      </c>
      <c r="F36" s="15" t="s">
        <v>58</v>
      </c>
      <c r="G36" s="15" t="s">
        <v>59</v>
      </c>
      <c r="H36" s="17" t="n">
        <v>8</v>
      </c>
      <c r="I36" s="15" t="s">
        <v>80</v>
      </c>
      <c r="J36" s="18" t="n">
        <v>0</v>
      </c>
    </row>
    <row r="37" customFormat="false" ht="15" hidden="false" customHeight="true" outlineLevel="0" collapsed="false">
      <c r="A37" s="19" t="s">
        <v>150</v>
      </c>
      <c r="B37" s="20" t="s">
        <v>151</v>
      </c>
      <c r="C37" s="20" t="s">
        <v>152</v>
      </c>
      <c r="D37" s="21" t="n">
        <v>62</v>
      </c>
      <c r="E37" s="19" t="s">
        <v>44</v>
      </c>
      <c r="F37" s="19" t="s">
        <v>38</v>
      </c>
      <c r="G37" s="19" t="s">
        <v>45</v>
      </c>
      <c r="H37" s="21" t="n">
        <v>2</v>
      </c>
      <c r="I37" s="19" t="s">
        <v>40</v>
      </c>
      <c r="J37" s="18" t="n">
        <v>0</v>
      </c>
    </row>
    <row r="38" customFormat="false" ht="15" hidden="false" customHeight="true" outlineLevel="0" collapsed="false">
      <c r="A38" s="15" t="s">
        <v>153</v>
      </c>
      <c r="B38" s="16" t="s">
        <v>154</v>
      </c>
      <c r="C38" s="16" t="s">
        <v>155</v>
      </c>
      <c r="D38" s="17" t="n">
        <v>38</v>
      </c>
      <c r="E38" s="15" t="s">
        <v>37</v>
      </c>
      <c r="F38" s="15" t="s">
        <v>53</v>
      </c>
      <c r="G38" s="15" t="s">
        <v>54</v>
      </c>
      <c r="H38" s="17" t="n">
        <v>4</v>
      </c>
      <c r="I38" s="15" t="s">
        <v>40</v>
      </c>
      <c r="J38" s="18" t="n">
        <v>0</v>
      </c>
    </row>
    <row r="39" customFormat="false" ht="15" hidden="false" customHeight="true" outlineLevel="0" collapsed="false">
      <c r="A39" s="19" t="s">
        <v>156</v>
      </c>
      <c r="B39" s="20" t="s">
        <v>157</v>
      </c>
      <c r="C39" s="20" t="s">
        <v>158</v>
      </c>
      <c r="D39" s="21" t="n">
        <v>53</v>
      </c>
      <c r="E39" s="19" t="s">
        <v>44</v>
      </c>
      <c r="F39" s="19" t="s">
        <v>48</v>
      </c>
      <c r="G39" s="19" t="s">
        <v>49</v>
      </c>
      <c r="H39" s="21" t="n">
        <v>2</v>
      </c>
      <c r="I39" s="19" t="s">
        <v>40</v>
      </c>
      <c r="J39" s="18" t="n">
        <v>0</v>
      </c>
    </row>
    <row r="40" customFormat="false" ht="15" hidden="false" customHeight="true" outlineLevel="0" collapsed="false">
      <c r="A40" s="15" t="s">
        <v>159</v>
      </c>
      <c r="B40" s="16" t="s">
        <v>160</v>
      </c>
      <c r="C40" s="16" t="s">
        <v>161</v>
      </c>
      <c r="D40" s="17" t="n">
        <v>69</v>
      </c>
      <c r="E40" s="15" t="s">
        <v>37</v>
      </c>
      <c r="F40" s="15" t="s">
        <v>38</v>
      </c>
      <c r="G40" s="15" t="s">
        <v>39</v>
      </c>
      <c r="H40" s="17" t="n">
        <v>4</v>
      </c>
      <c r="I40" s="15" t="s">
        <v>40</v>
      </c>
      <c r="J40" s="22" t="n">
        <v>1</v>
      </c>
    </row>
    <row r="41" customFormat="false" ht="15" hidden="false" customHeight="true" outlineLevel="0" collapsed="false">
      <c r="A41" s="19" t="s">
        <v>162</v>
      </c>
      <c r="B41" s="20" t="s">
        <v>163</v>
      </c>
      <c r="C41" s="20" t="s">
        <v>164</v>
      </c>
      <c r="D41" s="21" t="n">
        <v>81</v>
      </c>
      <c r="E41" s="19" t="s">
        <v>44</v>
      </c>
      <c r="F41" s="19" t="s">
        <v>53</v>
      </c>
      <c r="G41" s="19" t="s">
        <v>54</v>
      </c>
      <c r="H41" s="21" t="n">
        <v>2</v>
      </c>
      <c r="I41" s="19" t="s">
        <v>40</v>
      </c>
      <c r="J41" s="1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55"/>
  </cols>
  <sheetData>
    <row r="1" customFormat="false" ht="15" hidden="false" customHeight="true" outlineLevel="0" collapsed="false">
      <c r="A1" s="14" t="s">
        <v>29</v>
      </c>
      <c r="B1" s="14" t="s">
        <v>165</v>
      </c>
      <c r="C1" s="14" t="s">
        <v>166</v>
      </c>
      <c r="D1" s="14" t="s">
        <v>167</v>
      </c>
      <c r="E1" s="23" t="s">
        <v>168</v>
      </c>
    </row>
    <row r="2" customFormat="false" ht="15" hidden="false" customHeight="true" outlineLevel="0" collapsed="false">
      <c r="A2" s="15" t="s">
        <v>38</v>
      </c>
      <c r="B2" s="24" t="s">
        <v>169</v>
      </c>
      <c r="C2" s="17" t="n">
        <v>40</v>
      </c>
      <c r="D2" s="24" t="s">
        <v>170</v>
      </c>
      <c r="E2" s="25" t="s">
        <v>171</v>
      </c>
    </row>
    <row r="3" customFormat="false" ht="15" hidden="false" customHeight="true" outlineLevel="0" collapsed="false">
      <c r="A3" s="19" t="s">
        <v>48</v>
      </c>
      <c r="B3" s="26" t="s">
        <v>172</v>
      </c>
      <c r="C3" s="21" t="n">
        <v>35</v>
      </c>
      <c r="D3" s="26" t="s">
        <v>173</v>
      </c>
      <c r="E3" s="27" t="s">
        <v>174</v>
      </c>
    </row>
    <row r="4" customFormat="false" ht="15" hidden="false" customHeight="true" outlineLevel="0" collapsed="false">
      <c r="A4" s="15" t="s">
        <v>68</v>
      </c>
      <c r="B4" s="24" t="s">
        <v>175</v>
      </c>
      <c r="C4" s="17" t="n">
        <v>30</v>
      </c>
      <c r="D4" s="24" t="s">
        <v>176</v>
      </c>
      <c r="E4" s="25" t="s">
        <v>174</v>
      </c>
    </row>
    <row r="5" customFormat="false" ht="15" hidden="false" customHeight="true" outlineLevel="0" collapsed="false">
      <c r="A5" s="19" t="s">
        <v>63</v>
      </c>
      <c r="B5" s="26" t="s">
        <v>177</v>
      </c>
      <c r="C5" s="21" t="n">
        <v>25</v>
      </c>
      <c r="D5" s="26" t="s">
        <v>178</v>
      </c>
      <c r="E5" s="27" t="s">
        <v>174</v>
      </c>
    </row>
    <row r="6" customFormat="false" ht="15" hidden="false" customHeight="true" outlineLevel="0" collapsed="false">
      <c r="A6" s="15" t="s">
        <v>58</v>
      </c>
      <c r="B6" s="24" t="s">
        <v>179</v>
      </c>
      <c r="C6" s="17" t="n">
        <v>28</v>
      </c>
      <c r="D6" s="24" t="s">
        <v>180</v>
      </c>
      <c r="E6" s="25" t="s">
        <v>174</v>
      </c>
    </row>
    <row r="7" customFormat="false" ht="15" hidden="false" customHeight="true" outlineLevel="0" collapsed="false">
      <c r="A7" s="19" t="s">
        <v>53</v>
      </c>
      <c r="B7" s="26" t="s">
        <v>181</v>
      </c>
      <c r="C7" s="21" t="n">
        <v>20</v>
      </c>
      <c r="D7" s="26" t="s">
        <v>182</v>
      </c>
      <c r="E7" s="27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15"/>
  </cols>
  <sheetData>
    <row r="1" customFormat="false" ht="30" hidden="false" customHeight="true" outlineLevel="0" collapsed="false">
      <c r="A1" s="14" t="s">
        <v>183</v>
      </c>
      <c r="B1" s="14" t="s">
        <v>184</v>
      </c>
      <c r="C1" s="14" t="s">
        <v>166</v>
      </c>
      <c r="D1" s="14" t="s">
        <v>185</v>
      </c>
      <c r="E1" s="14" t="s">
        <v>6</v>
      </c>
      <c r="F1" s="14" t="s">
        <v>186</v>
      </c>
      <c r="G1" s="14" t="s">
        <v>187</v>
      </c>
      <c r="H1" s="14" t="s">
        <v>188</v>
      </c>
    </row>
    <row r="2" customFormat="false" ht="15" hidden="false" customHeight="true" outlineLevel="0" collapsed="false">
      <c r="A2" s="10" t="s">
        <v>169</v>
      </c>
      <c r="B2" s="17" t="n">
        <v>11</v>
      </c>
      <c r="C2" s="17" t="n">
        <v>40</v>
      </c>
      <c r="D2" s="28" t="n">
        <v>0.0116</v>
      </c>
      <c r="E2" s="29" t="n">
        <v>3.8</v>
      </c>
      <c r="F2" s="28" t="n">
        <v>0.1818</v>
      </c>
      <c r="G2" s="17" t="n">
        <v>11</v>
      </c>
      <c r="H2" s="17" t="n">
        <v>0</v>
      </c>
    </row>
    <row r="3" customFormat="false" ht="15" hidden="false" customHeight="true" outlineLevel="0" collapsed="false">
      <c r="A3" s="12" t="s">
        <v>172</v>
      </c>
      <c r="B3" s="21" t="n">
        <v>7</v>
      </c>
      <c r="C3" s="21" t="n">
        <v>35</v>
      </c>
      <c r="D3" s="30" t="n">
        <v>0.006</v>
      </c>
      <c r="E3" s="31" t="n">
        <v>2.7</v>
      </c>
      <c r="F3" s="30" t="n">
        <v>0</v>
      </c>
      <c r="G3" s="21" t="n">
        <v>7</v>
      </c>
      <c r="H3" s="21" t="n">
        <v>0</v>
      </c>
    </row>
    <row r="4" customFormat="false" ht="15" hidden="false" customHeight="true" outlineLevel="0" collapsed="false">
      <c r="A4" s="10" t="s">
        <v>175</v>
      </c>
      <c r="B4" s="17" t="n">
        <v>4</v>
      </c>
      <c r="C4" s="17" t="n">
        <v>30</v>
      </c>
      <c r="D4" s="28" t="n">
        <v>0.0059</v>
      </c>
      <c r="E4" s="29" t="n">
        <v>4</v>
      </c>
      <c r="F4" s="28" t="n">
        <v>0</v>
      </c>
      <c r="G4" s="17" t="n">
        <v>4</v>
      </c>
      <c r="H4" s="17" t="n">
        <v>0</v>
      </c>
    </row>
    <row r="5" customFormat="false" ht="15" hidden="false" customHeight="true" outlineLevel="0" collapsed="false">
      <c r="A5" s="12" t="s">
        <v>177</v>
      </c>
      <c r="B5" s="21" t="n">
        <v>4</v>
      </c>
      <c r="C5" s="21" t="n">
        <v>25</v>
      </c>
      <c r="D5" s="30" t="n">
        <v>0.0098</v>
      </c>
      <c r="E5" s="31" t="n">
        <v>5.5</v>
      </c>
      <c r="F5" s="30" t="n">
        <v>0</v>
      </c>
      <c r="G5" s="21" t="n">
        <v>2</v>
      </c>
      <c r="H5" s="21" t="n">
        <v>2</v>
      </c>
    </row>
    <row r="6" customFormat="false" ht="15" hidden="false" customHeight="true" outlineLevel="0" collapsed="false">
      <c r="A6" s="10" t="s">
        <v>179</v>
      </c>
      <c r="B6" s="17" t="n">
        <v>6</v>
      </c>
      <c r="C6" s="17" t="n">
        <v>28</v>
      </c>
      <c r="D6" s="28" t="n">
        <v>0.0174</v>
      </c>
      <c r="E6" s="29" t="n">
        <v>7.3</v>
      </c>
      <c r="F6" s="28" t="n">
        <v>0.5</v>
      </c>
      <c r="G6" s="17" t="n">
        <v>3</v>
      </c>
      <c r="H6" s="17" t="n">
        <v>3</v>
      </c>
    </row>
    <row r="7" customFormat="false" ht="15" hidden="false" customHeight="true" outlineLevel="0" collapsed="false">
      <c r="A7" s="12" t="s">
        <v>181</v>
      </c>
      <c r="B7" s="21" t="n">
        <v>8</v>
      </c>
      <c r="C7" s="21" t="n">
        <v>20</v>
      </c>
      <c r="D7" s="30" t="n">
        <v>0.0089</v>
      </c>
      <c r="E7" s="31" t="n">
        <v>2</v>
      </c>
      <c r="F7" s="30" t="n">
        <v>0</v>
      </c>
      <c r="G7" s="21" t="n">
        <v>7</v>
      </c>
      <c r="H7" s="21" t="n">
        <v>1</v>
      </c>
    </row>
    <row r="8" customFormat="false" ht="15" hidden="false" customHeight="true" outlineLevel="0" collapsed="false">
      <c r="A8" s="32" t="s">
        <v>189</v>
      </c>
      <c r="B8" s="33" t="n">
        <f aca="false">SUM(B2:B7)</f>
        <v>40</v>
      </c>
      <c r="C8" s="33" t="n">
        <f aca="false">SUM(C2:C7)</f>
        <v>178</v>
      </c>
      <c r="D8" s="34" t="n">
        <f aca="false">AVERAGE(D2:D7)</f>
        <v>0.00993333333333333</v>
      </c>
      <c r="E8" s="35" t="n">
        <f aca="false">AVERAGE(E2:E7)</f>
        <v>4.21666666666667</v>
      </c>
      <c r="F8" s="34" t="n">
        <f aca="false">AVERAGE(F2:F7)</f>
        <v>0.113633333333333</v>
      </c>
      <c r="G8" s="33" t="n">
        <f aca="false">SUM(G2:G7)</f>
        <v>34</v>
      </c>
      <c r="H8" s="33" t="n">
        <f aca="false">SUM(H2:H7)</f>
        <v>6</v>
      </c>
    </row>
  </sheetData>
  <conditionalFormatting sqref="F2:F7">
    <cfRule type="cellIs" priority="2" operator="greaterThan" aboveAverage="0" equalAverage="0" bottom="0" percent="0" rank="0" text="" dxfId="0">
      <formula>0.1</formula>
    </cfRule>
    <cfRule type="cellIs" priority="3" operator="lessThanOrEqual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15"/>
  </cols>
  <sheetData>
    <row r="1" customFormat="false" ht="23.25" hidden="false" customHeight="true" outlineLevel="0" collapsed="false">
      <c r="A1" s="14" t="s">
        <v>190</v>
      </c>
      <c r="B1" s="14" t="s">
        <v>3</v>
      </c>
      <c r="C1" s="14" t="s">
        <v>6</v>
      </c>
      <c r="D1" s="14" t="s">
        <v>191</v>
      </c>
      <c r="E1" s="14" t="s">
        <v>186</v>
      </c>
      <c r="F1" s="14" t="s">
        <v>80</v>
      </c>
      <c r="G1" s="14" t="s">
        <v>192</v>
      </c>
    </row>
    <row r="2" customFormat="false" ht="15" hidden="false" customHeight="true" outlineLevel="0" collapsed="false">
      <c r="A2" s="15" t="s">
        <v>193</v>
      </c>
      <c r="B2" s="17" t="n">
        <v>10</v>
      </c>
      <c r="C2" s="29" t="n">
        <v>4</v>
      </c>
      <c r="D2" s="17" t="n">
        <v>1</v>
      </c>
      <c r="E2" s="28" t="n">
        <f aca="false">IFERROR(D2/B2,0)</f>
        <v>0.1</v>
      </c>
      <c r="F2" s="17" t="n">
        <v>1</v>
      </c>
      <c r="G2" s="28" t="n">
        <f aca="false">IFERROR(8/B2,0)</f>
        <v>0.8</v>
      </c>
    </row>
    <row r="3" customFormat="false" ht="15" hidden="false" customHeight="true" outlineLevel="0" collapsed="false">
      <c r="A3" s="19" t="s">
        <v>194</v>
      </c>
      <c r="B3" s="21" t="n">
        <v>9</v>
      </c>
      <c r="C3" s="31" t="n">
        <v>3.7</v>
      </c>
      <c r="D3" s="21" t="n">
        <v>1</v>
      </c>
      <c r="E3" s="30" t="n">
        <f aca="false">IFERROR(D3/B3,0)</f>
        <v>0.111111111111111</v>
      </c>
      <c r="F3" s="21" t="n">
        <v>0</v>
      </c>
      <c r="G3" s="30" t="n">
        <f aca="false">IFERROR(8/B3,0)</f>
        <v>0.888888888888889</v>
      </c>
    </row>
    <row r="4" customFormat="false" ht="15" hidden="false" customHeight="true" outlineLevel="0" collapsed="false">
      <c r="A4" s="15" t="s">
        <v>195</v>
      </c>
      <c r="B4" s="17" t="n">
        <v>10</v>
      </c>
      <c r="C4" s="29" t="n">
        <v>4.5</v>
      </c>
      <c r="D4" s="17" t="n">
        <v>2</v>
      </c>
      <c r="E4" s="28" t="n">
        <f aca="false">IFERROR(D4/B4,0)</f>
        <v>0.2</v>
      </c>
      <c r="F4" s="17" t="n">
        <v>1</v>
      </c>
      <c r="G4" s="28" t="n">
        <f aca="false">IFERROR(9/B4,0)</f>
        <v>0.9</v>
      </c>
    </row>
    <row r="5" customFormat="false" ht="15" hidden="false" customHeight="true" outlineLevel="0" collapsed="false">
      <c r="A5" s="19" t="s">
        <v>196</v>
      </c>
      <c r="B5" s="21" t="n">
        <v>10</v>
      </c>
      <c r="C5" s="31" t="n">
        <v>3.9</v>
      </c>
      <c r="D5" s="21" t="n">
        <v>1</v>
      </c>
      <c r="E5" s="30" t="n">
        <f aca="false">IFERROR(D5/B5,0)</f>
        <v>0.1</v>
      </c>
      <c r="F5" s="21" t="n">
        <v>1</v>
      </c>
      <c r="G5" s="30" t="n">
        <f aca="false">IFERROR(8/B5,0)</f>
        <v>0.8</v>
      </c>
    </row>
    <row r="6" customFormat="false" ht="15" hidden="false" customHeight="true" outlineLevel="0" collapsed="false">
      <c r="A6" s="15" t="s">
        <v>197</v>
      </c>
      <c r="B6" s="17" t="n">
        <v>1</v>
      </c>
      <c r="C6" s="29" t="n">
        <v>2</v>
      </c>
      <c r="D6" s="17" t="n">
        <v>0</v>
      </c>
      <c r="E6" s="28" t="n">
        <f aca="false">IFERROR(D6/B6,0)</f>
        <v>0</v>
      </c>
      <c r="F6" s="17" t="n">
        <v>0</v>
      </c>
      <c r="G6" s="28" t="n">
        <f aca="false">IFERROR(1/B6,0)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5"/>
    <col collapsed="false" customWidth="true" hidden="false" outlineLevel="0" max="5" min="4" style="1" width="18"/>
    <col collapsed="false" customWidth="true" hidden="false" outlineLevel="0" max="6" min="6" style="1" width="12"/>
  </cols>
  <sheetData>
    <row r="1" customFormat="false" ht="23.25" hidden="false" customHeight="true" outlineLevel="0" collapsed="false">
      <c r="A1" s="14" t="s">
        <v>198</v>
      </c>
      <c r="B1" s="14" t="s">
        <v>199</v>
      </c>
      <c r="C1" s="14" t="s">
        <v>6</v>
      </c>
      <c r="D1" s="14" t="s">
        <v>200</v>
      </c>
      <c r="E1" s="14" t="s">
        <v>186</v>
      </c>
      <c r="F1" s="14" t="s">
        <v>201</v>
      </c>
    </row>
    <row r="2" customFormat="false" ht="15" hidden="false" customHeight="true" outlineLevel="0" collapsed="false">
      <c r="A2" s="15" t="s">
        <v>202</v>
      </c>
      <c r="B2" s="17" t="n">
        <v>4</v>
      </c>
      <c r="C2" s="29" t="n">
        <v>4</v>
      </c>
      <c r="D2" s="17" t="n">
        <v>0</v>
      </c>
      <c r="E2" s="28" t="n">
        <f aca="false">IFERROR(D2/B2,0)</f>
        <v>0</v>
      </c>
      <c r="F2" s="17" t="n">
        <v>8</v>
      </c>
    </row>
    <row r="3" customFormat="false" ht="15" hidden="false" customHeight="true" outlineLevel="0" collapsed="false">
      <c r="A3" s="19" t="s">
        <v>203</v>
      </c>
      <c r="B3" s="21" t="n">
        <v>6</v>
      </c>
      <c r="C3" s="31" t="n">
        <v>2.2</v>
      </c>
      <c r="D3" s="21" t="n">
        <v>0</v>
      </c>
      <c r="E3" s="30" t="n">
        <f aca="false">IFERROR(D3/B3,0)</f>
        <v>0</v>
      </c>
      <c r="F3" s="21" t="n">
        <v>34</v>
      </c>
    </row>
    <row r="4" customFormat="false" ht="15" hidden="false" customHeight="true" outlineLevel="0" collapsed="false">
      <c r="A4" s="15" t="s">
        <v>204</v>
      </c>
      <c r="B4" s="17" t="n">
        <v>11</v>
      </c>
      <c r="C4" s="29" t="n">
        <v>3.2</v>
      </c>
      <c r="D4" s="17" t="n">
        <v>0</v>
      </c>
      <c r="E4" s="28" t="n">
        <f aca="false">IFERROR(D4/B4,0)</f>
        <v>0</v>
      </c>
      <c r="F4" s="17" t="n">
        <v>51</v>
      </c>
    </row>
    <row r="5" customFormat="false" ht="15" hidden="false" customHeight="true" outlineLevel="0" collapsed="false">
      <c r="A5" s="19" t="s">
        <v>205</v>
      </c>
      <c r="B5" s="21" t="n">
        <v>16</v>
      </c>
      <c r="C5" s="31" t="n">
        <v>5.6</v>
      </c>
      <c r="D5" s="21" t="n">
        <v>5</v>
      </c>
      <c r="E5" s="30" t="n">
        <f aca="false">IFERROR(D5/B5,0)</f>
        <v>0.3125</v>
      </c>
      <c r="F5" s="21" t="n">
        <v>69</v>
      </c>
    </row>
    <row r="6" customFormat="false" ht="15" hidden="false" customHeight="true" outlineLevel="0" collapsed="false">
      <c r="A6" s="15" t="s">
        <v>206</v>
      </c>
      <c r="B6" s="17" t="n">
        <v>3</v>
      </c>
      <c r="C6" s="29" t="n">
        <v>1.7</v>
      </c>
      <c r="D6" s="17" t="n">
        <v>0</v>
      </c>
      <c r="E6" s="28" t="n">
        <f aca="false">IFERROR(D6/B6,0)</f>
        <v>0</v>
      </c>
      <c r="F6" s="17" t="n">
        <v>84</v>
      </c>
    </row>
  </sheetData>
  <conditionalFormatting sqref="E2:E6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5"/>
  </cols>
  <sheetData>
    <row r="1" customFormat="false" ht="15" hidden="false" customHeight="true" outlineLevel="0" collapsed="false">
      <c r="A1" s="14" t="s">
        <v>207</v>
      </c>
      <c r="B1" s="14" t="s">
        <v>208</v>
      </c>
      <c r="C1" s="14" t="s">
        <v>209</v>
      </c>
    </row>
    <row r="2" customFormat="false" ht="15" hidden="false" customHeight="true" outlineLevel="0" collapsed="false">
      <c r="A2" s="24" t="s">
        <v>210</v>
      </c>
      <c r="B2" s="36" t="s">
        <v>211</v>
      </c>
      <c r="C2" s="24" t="s">
        <v>212</v>
      </c>
    </row>
    <row r="3" customFormat="false" ht="15" hidden="false" customHeight="true" outlineLevel="0" collapsed="false">
      <c r="A3" s="26" t="s">
        <v>213</v>
      </c>
      <c r="B3" s="36" t="s">
        <v>214</v>
      </c>
      <c r="C3" s="26" t="s">
        <v>215</v>
      </c>
    </row>
    <row r="4" customFormat="false" ht="15" hidden="false" customHeight="true" outlineLevel="0" collapsed="false">
      <c r="A4" s="24" t="s">
        <v>216</v>
      </c>
      <c r="B4" s="36" t="n">
        <v>90</v>
      </c>
      <c r="C4" s="24" t="s">
        <v>217</v>
      </c>
    </row>
    <row r="5" customFormat="false" ht="15" hidden="false" customHeight="true" outlineLevel="0" collapsed="false">
      <c r="A5" s="26" t="s">
        <v>218</v>
      </c>
      <c r="B5" s="36" t="s">
        <v>219</v>
      </c>
      <c r="C5" s="26" t="s">
        <v>220</v>
      </c>
    </row>
    <row r="6" customFormat="false" ht="15" hidden="false" customHeight="true" outlineLevel="0" collapsed="false">
      <c r="A6" s="24" t="s">
        <v>221</v>
      </c>
      <c r="B6" s="37" t="n">
        <v>0.05</v>
      </c>
      <c r="C6" s="24" t="s">
        <v>222</v>
      </c>
    </row>
    <row r="7" customFormat="false" ht="15" hidden="false" customHeight="true" outlineLevel="0" collapsed="false">
      <c r="A7" s="26" t="s">
        <v>223</v>
      </c>
      <c r="B7" s="37" t="n">
        <v>0.85</v>
      </c>
      <c r="C7" s="26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2026-06-12T03:50:18Z</dcterms:created>
  <dc:creator>openpyxl</dc:creator>
  <dc:description/>
  <dc:language>en-US</dc:language>
  <cp:lastModifiedBy/>
  <dcterms:modified xsi:type="dcterms:W3CDTF">2026-06-12T03:50:27Z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